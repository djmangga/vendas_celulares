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DECON\Downloads\MANGGA\curso excel dio\"/>
    </mc:Choice>
  </mc:AlternateContent>
  <xr:revisionPtr revIDLastSave="0" documentId="8_{04AAA8F3-76C3-4DCE-84E5-B157ED455C34}" xr6:coauthVersionLast="47" xr6:coauthVersionMax="47" xr10:uidLastSave="{00000000-0000-0000-0000-000000000000}"/>
  <bookViews>
    <workbookView xWindow="-120" yWindow="-120" windowWidth="29040" windowHeight="15720" tabRatio="271" xr2:uid="{00000000-000D-0000-FFFF-FFFF00000000}"/>
  </bookViews>
  <sheets>
    <sheet name="Dados" sheetId="1" r:id="rId1"/>
    <sheet name="Analise" sheetId="2" r:id="rId2"/>
    <sheet name="Analise por M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3" l="1"/>
  <c r="D11" i="3" s="1"/>
  <c r="B11" i="3"/>
  <c r="C10" i="3"/>
  <c r="D10" i="3" s="1"/>
  <c r="B10" i="3"/>
  <c r="C9" i="3"/>
  <c r="D9" i="3" s="1"/>
  <c r="B9" i="3"/>
  <c r="C8" i="3"/>
  <c r="D8" i="3" s="1"/>
  <c r="B8" i="3"/>
  <c r="C7" i="3"/>
  <c r="D7" i="3" s="1"/>
  <c r="B7" i="3"/>
  <c r="C6" i="3"/>
  <c r="D6" i="3" s="1"/>
  <c r="B6" i="3"/>
  <c r="C5" i="3"/>
  <c r="D5" i="3" s="1"/>
  <c r="B5" i="3"/>
  <c r="C4" i="3"/>
  <c r="D4" i="3" s="1"/>
  <c r="B4" i="3"/>
  <c r="C3" i="3"/>
  <c r="D3" i="3" s="1"/>
  <c r="B3" i="3"/>
  <c r="C2" i="3"/>
  <c r="B2" i="3"/>
  <c r="B12" i="3" s="1"/>
  <c r="B16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E21" i="1"/>
  <c r="E20" i="1"/>
  <c r="E19" i="1"/>
  <c r="B15" i="2" s="1"/>
  <c r="B17" i="2" s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2" i="3" l="1"/>
  <c r="C12" i="3"/>
  <c r="D12" i="3" s="1"/>
</calcChain>
</file>

<file path=xl/sharedStrings.xml><?xml version="1.0" encoding="utf-8"?>
<sst xmlns="http://schemas.openxmlformats.org/spreadsheetml/2006/main" count="43" uniqueCount="33">
  <si>
    <t>Data de Venda</t>
  </si>
  <si>
    <t>Modelo</t>
  </si>
  <si>
    <t>Valor Unitário</t>
  </si>
  <si>
    <t>Quantidade</t>
  </si>
  <si>
    <t>Valor Total</t>
  </si>
  <si>
    <t>iPhone 15</t>
  </si>
  <si>
    <t>Samsung Galaxy A54</t>
  </si>
  <si>
    <t>Xiaomi Redmi Note 13</t>
  </si>
  <si>
    <t>Samsung Galaxy S24</t>
  </si>
  <si>
    <t>Motorola Moto G84</t>
  </si>
  <si>
    <t>iPhone 14</t>
  </si>
  <si>
    <t>Motorola Edge 40</t>
  </si>
  <si>
    <t>Xiaomi Poco X6</t>
  </si>
  <si>
    <t>Samsung Galaxy S23</t>
  </si>
  <si>
    <t>iPhone 13</t>
  </si>
  <si>
    <t>iPhone 15 Pro</t>
  </si>
  <si>
    <t>Total de Vendas</t>
  </si>
  <si>
    <t>Total Geral</t>
  </si>
  <si>
    <t>Mês</t>
  </si>
  <si>
    <t>Total de Vendas (R$)</t>
  </si>
  <si>
    <t>Qtd de Transações</t>
  </si>
  <si>
    <t>Ticket Médio (R$)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</si>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</sst>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&quot;(R$ &quot;#,##0.00\);\-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1F4E78"/>
      </patternFill>
    </fill>
    <fill>
      <patternFill patternType="solid">
        <fgColor rgb="FFFFC000"/>
        <bgColor rgb="FFFF9900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1F3864"/>
      </top>
      <bottom style="double">
        <color rgb="FF1F38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164" fontId="2" fillId="5" borderId="3" xfId="0" applyNumberFormat="1" applyFont="1" applyFill="1" applyBorder="1" applyAlignment="1">
      <alignment horizontal="right" vertical="center"/>
    </xf>
    <xf numFmtId="3" fontId="2" fillId="5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right" vertical="center"/>
    </xf>
    <xf numFmtId="3" fontId="2" fillId="4" borderId="3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/>
    </xf>
    <xf numFmtId="164" fontId="4" fillId="7" borderId="4" xfId="0" applyNumberFormat="1" applyFont="1" applyFill="1" applyBorder="1" applyAlignment="1">
      <alignment horizontal="right" vertical="center"/>
    </xf>
    <xf numFmtId="3" fontId="4" fillId="7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B3B3B3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Vendas por Mês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por Mes'!$B$1</c:f>
              <c:strCache>
                <c:ptCount val="1"/>
                <c:pt idx="0">
                  <c:v>Total de Vendas (R$)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vert="horz" wrap="none"/>
              <a:lstStyle/>
              <a:p>
                <a:pPr>
                  <a:defRPr sz="800" b="0" u="none" strike="noStrike">
                    <a:solidFill>
                      <a:schemeClr val="bg1"/>
                    </a:solidFill>
                    <a:uFillTx/>
                    <a:latin typeface="Arial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'Analise por Mes'!$A$2:$A$11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'Analise por Mes'!$B$2:$B$11</c:f>
              <c:numCache>
                <c:formatCode>"R$ "#,##0.00;"(R$ "#,##0.00\);\-</c:formatCode>
                <c:ptCount val="10"/>
                <c:pt idx="0">
                  <c:v>18695</c:v>
                </c:pt>
                <c:pt idx="1">
                  <c:v>11495</c:v>
                </c:pt>
                <c:pt idx="2">
                  <c:v>17993</c:v>
                </c:pt>
                <c:pt idx="3">
                  <c:v>10795</c:v>
                </c:pt>
                <c:pt idx="4">
                  <c:v>11997</c:v>
                </c:pt>
                <c:pt idx="5">
                  <c:v>15495</c:v>
                </c:pt>
                <c:pt idx="6">
                  <c:v>9894</c:v>
                </c:pt>
                <c:pt idx="7">
                  <c:v>30495</c:v>
                </c:pt>
                <c:pt idx="8">
                  <c:v>10394</c:v>
                </c:pt>
                <c:pt idx="9">
                  <c:v>22795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D-4264-9641-1AE803795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74910"/>
        <c:axId val="74649924"/>
      </c:barChart>
      <c:catAx>
        <c:axId val="732749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74649924"/>
        <c:crosses val="autoZero"/>
        <c:auto val="1"/>
        <c:lblAlgn val="ctr"/>
        <c:lblOffset val="100"/>
        <c:noMultiLvlLbl val="0"/>
      </c:catAx>
      <c:valAx>
        <c:axId val="746499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de Vendas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732749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542925</xdr:colOff>
      <xdr:row>0</xdr:row>
      <xdr:rowOff>0</xdr:rowOff>
    </xdr:from>
    <xdr:to>
      <xdr:col>15</xdr:col>
      <xdr:colOff>123825</xdr:colOff>
      <xdr:row>14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00" workbookViewId="0"/>
  </sheetViews>
  <sheetFormatPr defaultColWidth="8.5703125" defaultRowHeight="15" customHeight="1" x14ac:dyDescent="0.25"/>
  <cols>
    <col min="1" max="1" width="18" customWidth="1"/>
    <col min="2" max="2" width="25" customWidth="1"/>
    <col min="3" max="3" width="19" customWidth="1"/>
    <col min="4" max="4" width="16" customWidth="1"/>
    <col min="5" max="5" width="18" customWidth="1"/>
  </cols>
  <sheetData>
    <row r="1" spans="1:5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5" customHeight="1" x14ac:dyDescent="0.25">
      <c r="A2" s="2">
        <v>45306</v>
      </c>
      <c r="B2" s="3" t="s">
        <v>5</v>
      </c>
      <c r="C2" s="4">
        <v>6499</v>
      </c>
      <c r="D2" s="5">
        <v>2</v>
      </c>
      <c r="E2" s="6">
        <f t="shared" ref="E2:E21" si="0">D2*C2</f>
        <v>12998</v>
      </c>
    </row>
    <row r="3" spans="1:5" ht="19.5" customHeight="1" x14ac:dyDescent="0.25">
      <c r="A3" s="7">
        <v>45306</v>
      </c>
      <c r="B3" s="8" t="s">
        <v>6</v>
      </c>
      <c r="C3" s="9">
        <v>1899</v>
      </c>
      <c r="D3" s="10">
        <v>3</v>
      </c>
      <c r="E3" s="11">
        <f t="shared" si="0"/>
        <v>5697</v>
      </c>
    </row>
    <row r="4" spans="1:5" ht="19.5" customHeight="1" x14ac:dyDescent="0.25">
      <c r="A4" s="2">
        <v>45327</v>
      </c>
      <c r="B4" s="3" t="s">
        <v>7</v>
      </c>
      <c r="C4" s="4">
        <v>1499</v>
      </c>
      <c r="D4" s="5">
        <v>4</v>
      </c>
      <c r="E4" s="6">
        <f t="shared" si="0"/>
        <v>5996</v>
      </c>
    </row>
    <row r="5" spans="1:5" ht="19.5" customHeight="1" x14ac:dyDescent="0.25">
      <c r="A5" s="7">
        <v>45340</v>
      </c>
      <c r="B5" s="8" t="s">
        <v>8</v>
      </c>
      <c r="C5" s="9">
        <v>5499</v>
      </c>
      <c r="D5" s="10">
        <v>1</v>
      </c>
      <c r="E5" s="11">
        <f t="shared" si="0"/>
        <v>5499</v>
      </c>
    </row>
    <row r="6" spans="1:5" ht="19.5" customHeight="1" x14ac:dyDescent="0.25">
      <c r="A6" s="2">
        <v>45361</v>
      </c>
      <c r="B6" s="3" t="s">
        <v>9</v>
      </c>
      <c r="C6" s="4">
        <v>1599</v>
      </c>
      <c r="D6" s="5">
        <v>5</v>
      </c>
      <c r="E6" s="6">
        <f t="shared" si="0"/>
        <v>7995</v>
      </c>
    </row>
    <row r="7" spans="1:5" ht="19.5" customHeight="1" x14ac:dyDescent="0.25">
      <c r="A7" s="7">
        <v>45361</v>
      </c>
      <c r="B7" s="8" t="s">
        <v>10</v>
      </c>
      <c r="C7" s="9">
        <v>4999</v>
      </c>
      <c r="D7" s="10">
        <v>2</v>
      </c>
      <c r="E7" s="11">
        <f t="shared" si="0"/>
        <v>9998</v>
      </c>
    </row>
    <row r="8" spans="1:5" ht="19.5" customHeight="1" x14ac:dyDescent="0.25">
      <c r="A8" s="2">
        <v>45384</v>
      </c>
      <c r="B8" s="3" t="s">
        <v>11</v>
      </c>
      <c r="C8" s="4">
        <v>2399</v>
      </c>
      <c r="D8" s="5">
        <v>2</v>
      </c>
      <c r="E8" s="6">
        <f t="shared" si="0"/>
        <v>4798</v>
      </c>
    </row>
    <row r="9" spans="1:5" ht="19.5" customHeight="1" x14ac:dyDescent="0.25">
      <c r="A9" s="7">
        <v>45404</v>
      </c>
      <c r="B9" s="8" t="s">
        <v>12</v>
      </c>
      <c r="C9" s="9">
        <v>1999</v>
      </c>
      <c r="D9" s="10">
        <v>3</v>
      </c>
      <c r="E9" s="11">
        <f t="shared" si="0"/>
        <v>5997</v>
      </c>
    </row>
    <row r="10" spans="1:5" ht="19.5" customHeight="1" x14ac:dyDescent="0.25">
      <c r="A10" s="2">
        <v>45424</v>
      </c>
      <c r="B10" s="3" t="s">
        <v>13</v>
      </c>
      <c r="C10" s="4">
        <v>3899</v>
      </c>
      <c r="D10" s="5">
        <v>2</v>
      </c>
      <c r="E10" s="6">
        <f t="shared" si="0"/>
        <v>7798</v>
      </c>
    </row>
    <row r="11" spans="1:5" ht="19.5" customHeight="1" x14ac:dyDescent="0.25">
      <c r="A11" s="7">
        <v>45424</v>
      </c>
      <c r="B11" s="8" t="s">
        <v>14</v>
      </c>
      <c r="C11" s="9">
        <v>4199</v>
      </c>
      <c r="D11" s="10">
        <v>1</v>
      </c>
      <c r="E11" s="11">
        <f t="shared" si="0"/>
        <v>4199</v>
      </c>
    </row>
    <row r="12" spans="1:5" ht="19.5" customHeight="1" x14ac:dyDescent="0.25">
      <c r="A12" s="2">
        <v>45451</v>
      </c>
      <c r="B12" s="3" t="s">
        <v>15</v>
      </c>
      <c r="C12" s="4">
        <v>7899</v>
      </c>
      <c r="D12" s="5">
        <v>1</v>
      </c>
      <c r="E12" s="6">
        <f t="shared" si="0"/>
        <v>7899</v>
      </c>
    </row>
    <row r="13" spans="1:5" ht="19.5" customHeight="1" x14ac:dyDescent="0.25">
      <c r="A13" s="7">
        <v>45468</v>
      </c>
      <c r="B13" s="8" t="s">
        <v>6</v>
      </c>
      <c r="C13" s="9">
        <v>1899</v>
      </c>
      <c r="D13" s="10">
        <v>4</v>
      </c>
      <c r="E13" s="11">
        <f t="shared" si="0"/>
        <v>7596</v>
      </c>
    </row>
    <row r="14" spans="1:5" ht="19.5" customHeight="1" x14ac:dyDescent="0.25">
      <c r="A14" s="2">
        <v>45487</v>
      </c>
      <c r="B14" s="3" t="s">
        <v>7</v>
      </c>
      <c r="C14" s="4">
        <v>1499</v>
      </c>
      <c r="D14" s="5">
        <v>5</v>
      </c>
      <c r="E14" s="6">
        <f t="shared" si="0"/>
        <v>7495</v>
      </c>
    </row>
    <row r="15" spans="1:5" ht="19.5" customHeight="1" x14ac:dyDescent="0.25">
      <c r="A15" s="7">
        <v>45487</v>
      </c>
      <c r="B15" s="8" t="s">
        <v>11</v>
      </c>
      <c r="C15" s="9">
        <v>2399</v>
      </c>
      <c r="D15" s="10">
        <v>1</v>
      </c>
      <c r="E15" s="11">
        <f t="shared" si="0"/>
        <v>2399</v>
      </c>
    </row>
    <row r="16" spans="1:5" ht="19.5" customHeight="1" x14ac:dyDescent="0.25">
      <c r="A16" s="2">
        <v>45507</v>
      </c>
      <c r="B16" s="3" t="s">
        <v>8</v>
      </c>
      <c r="C16" s="4">
        <v>5499</v>
      </c>
      <c r="D16" s="5">
        <v>2</v>
      </c>
      <c r="E16" s="6">
        <f t="shared" si="0"/>
        <v>10998</v>
      </c>
    </row>
    <row r="17" spans="1:5" ht="19.5" customHeight="1" x14ac:dyDescent="0.25">
      <c r="A17" s="7">
        <v>45523</v>
      </c>
      <c r="B17" s="8" t="s">
        <v>5</v>
      </c>
      <c r="C17" s="9">
        <v>6499</v>
      </c>
      <c r="D17" s="10">
        <v>3</v>
      </c>
      <c r="E17" s="11">
        <f t="shared" si="0"/>
        <v>19497</v>
      </c>
    </row>
    <row r="18" spans="1:5" ht="19.5" customHeight="1" x14ac:dyDescent="0.25">
      <c r="A18" s="2">
        <v>45542</v>
      </c>
      <c r="B18" s="3" t="s">
        <v>9</v>
      </c>
      <c r="C18" s="4">
        <v>1599</v>
      </c>
      <c r="D18" s="5">
        <v>4</v>
      </c>
      <c r="E18" s="6">
        <f t="shared" si="0"/>
        <v>6396</v>
      </c>
    </row>
    <row r="19" spans="1:5" ht="19.5" customHeight="1" x14ac:dyDescent="0.25">
      <c r="A19" s="7">
        <v>45556</v>
      </c>
      <c r="B19" s="8" t="s">
        <v>12</v>
      </c>
      <c r="C19" s="9">
        <v>1999</v>
      </c>
      <c r="D19" s="10">
        <v>2</v>
      </c>
      <c r="E19" s="11">
        <f t="shared" si="0"/>
        <v>3998</v>
      </c>
    </row>
    <row r="20" spans="1:5" ht="19.5" customHeight="1" x14ac:dyDescent="0.25">
      <c r="A20" s="2">
        <v>45570</v>
      </c>
      <c r="B20" s="3" t="s">
        <v>10</v>
      </c>
      <c r="C20" s="4">
        <v>4999</v>
      </c>
      <c r="D20" s="5">
        <v>3</v>
      </c>
      <c r="E20" s="6">
        <f t="shared" si="0"/>
        <v>14997</v>
      </c>
    </row>
    <row r="21" spans="1:5" ht="19.5" customHeight="1" x14ac:dyDescent="0.25">
      <c r="A21" s="7">
        <v>45570</v>
      </c>
      <c r="B21" s="8" t="s">
        <v>13</v>
      </c>
      <c r="C21" s="9">
        <v>3899</v>
      </c>
      <c r="D21" s="10">
        <v>2</v>
      </c>
      <c r="E21" s="11">
        <f t="shared" si="0"/>
        <v>7798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workbookViewId="0"/>
  </sheetViews>
  <sheetFormatPr defaultColWidth="8.5703125" defaultRowHeight="15" customHeight="1" x14ac:dyDescent="0.25"/>
  <cols>
    <col min="1" max="1" width="18" customWidth="1"/>
    <col min="2" max="2" width="20" customWidth="1"/>
  </cols>
  <sheetData>
    <row r="1" spans="1:2" ht="25.5" customHeight="1" x14ac:dyDescent="0.25">
      <c r="A1" s="1" t="s">
        <v>0</v>
      </c>
      <c r="B1" s="1" t="s">
        <v>16</v>
      </c>
    </row>
    <row r="2" spans="1:2" ht="19.5" customHeight="1" x14ac:dyDescent="0.25">
      <c r="A2" s="2">
        <v>45306</v>
      </c>
      <c r="B2" s="6">
        <f>SUMIF(Dados!$A$2:$A$21, A2, Dados!$E$2:$E$21)</f>
        <v>18695</v>
      </c>
    </row>
    <row r="3" spans="1:2" ht="19.5" customHeight="1" x14ac:dyDescent="0.25">
      <c r="A3" s="7">
        <v>45327</v>
      </c>
      <c r="B3" s="11">
        <f>SUMIF(Dados!$A$2:$A$21, A3, Dados!$E$2:$E$21)</f>
        <v>5996</v>
      </c>
    </row>
    <row r="4" spans="1:2" ht="19.5" customHeight="1" x14ac:dyDescent="0.25">
      <c r="A4" s="2">
        <v>45340</v>
      </c>
      <c r="B4" s="6">
        <f>SUMIF(Dados!$A$2:$A$21, A4, Dados!$E$2:$E$21)</f>
        <v>5499</v>
      </c>
    </row>
    <row r="5" spans="1:2" ht="19.5" customHeight="1" x14ac:dyDescent="0.25">
      <c r="A5" s="7">
        <v>45361</v>
      </c>
      <c r="B5" s="11">
        <f>SUMIF(Dados!$A$2:$A$21, A5, Dados!$E$2:$E$21)</f>
        <v>17993</v>
      </c>
    </row>
    <row r="6" spans="1:2" ht="19.5" customHeight="1" x14ac:dyDescent="0.25">
      <c r="A6" s="2">
        <v>45384</v>
      </c>
      <c r="B6" s="6">
        <f>SUMIF(Dados!$A$2:$A$21, A6, Dados!$E$2:$E$21)</f>
        <v>4798</v>
      </c>
    </row>
    <row r="7" spans="1:2" ht="19.5" customHeight="1" x14ac:dyDescent="0.25">
      <c r="A7" s="7">
        <v>45404</v>
      </c>
      <c r="B7" s="11">
        <f>SUMIF(Dados!$A$2:$A$21, A7, Dados!$E$2:$E$21)</f>
        <v>5997</v>
      </c>
    </row>
    <row r="8" spans="1:2" ht="19.5" customHeight="1" x14ac:dyDescent="0.25">
      <c r="A8" s="2">
        <v>45424</v>
      </c>
      <c r="B8" s="6">
        <f>SUMIF(Dados!$A$2:$A$21, A8, Dados!$E$2:$E$21)</f>
        <v>11997</v>
      </c>
    </row>
    <row r="9" spans="1:2" ht="19.5" customHeight="1" x14ac:dyDescent="0.25">
      <c r="A9" s="7">
        <v>45451</v>
      </c>
      <c r="B9" s="11">
        <f>SUMIF(Dados!$A$2:$A$21, A9, Dados!$E$2:$E$21)</f>
        <v>7899</v>
      </c>
    </row>
    <row r="10" spans="1:2" ht="19.5" customHeight="1" x14ac:dyDescent="0.25">
      <c r="A10" s="2">
        <v>45468</v>
      </c>
      <c r="B10" s="6">
        <f>SUMIF(Dados!$A$2:$A$21, A10, Dados!$E$2:$E$21)</f>
        <v>7596</v>
      </c>
    </row>
    <row r="11" spans="1:2" ht="19.5" customHeight="1" x14ac:dyDescent="0.25">
      <c r="A11" s="7">
        <v>45487</v>
      </c>
      <c r="B11" s="11">
        <f>SUMIF(Dados!$A$2:$A$21, A11, Dados!$E$2:$E$21)</f>
        <v>9894</v>
      </c>
    </row>
    <row r="12" spans="1:2" ht="19.5" customHeight="1" x14ac:dyDescent="0.25">
      <c r="A12" s="2">
        <v>45507</v>
      </c>
      <c r="B12" s="6">
        <f>SUMIF(Dados!$A$2:$A$21, A12, Dados!$E$2:$E$21)</f>
        <v>10998</v>
      </c>
    </row>
    <row r="13" spans="1:2" ht="19.5" customHeight="1" x14ac:dyDescent="0.25">
      <c r="A13" s="7">
        <v>45523</v>
      </c>
      <c r="B13" s="11">
        <f>SUMIF(Dados!$A$2:$A$21, A13, Dados!$E$2:$E$21)</f>
        <v>19497</v>
      </c>
    </row>
    <row r="14" spans="1:2" ht="19.5" customHeight="1" x14ac:dyDescent="0.25">
      <c r="A14" s="2">
        <v>45542</v>
      </c>
      <c r="B14" s="6">
        <f>SUMIF(Dados!$A$2:$A$21, A14, Dados!$E$2:$E$21)</f>
        <v>6396</v>
      </c>
    </row>
    <row r="15" spans="1:2" ht="19.5" customHeight="1" x14ac:dyDescent="0.25">
      <c r="A15" s="7">
        <v>45556</v>
      </c>
      <c r="B15" s="11">
        <f>SUMIF(Dados!$A$2:$A$21, A15, Dados!$E$2:$E$21)</f>
        <v>3998</v>
      </c>
    </row>
    <row r="16" spans="1:2" ht="19.5" customHeight="1" x14ac:dyDescent="0.25">
      <c r="A16" s="2">
        <v>45570</v>
      </c>
      <c r="B16" s="6">
        <f>SUMIF(Dados!$A$2:$A$21, A16, Dados!$E$2:$E$21)</f>
        <v>22795</v>
      </c>
    </row>
    <row r="17" spans="1:2" ht="24" customHeight="1" x14ac:dyDescent="0.25">
      <c r="A17" s="12" t="s">
        <v>17</v>
      </c>
      <c r="B17" s="13">
        <f>SUM(B2:B16)</f>
        <v>160048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zoomScaleNormal="100" workbookViewId="0">
      <selection activeCell="Q22" sqref="Q22"/>
    </sheetView>
  </sheetViews>
  <sheetFormatPr defaultColWidth="8.5703125" defaultRowHeight="15" customHeight="1" x14ac:dyDescent="0.25"/>
  <cols>
    <col min="1" max="1" width="20" customWidth="1"/>
    <col min="2" max="2" width="26" customWidth="1"/>
    <col min="3" max="3" width="22" customWidth="1"/>
    <col min="4" max="4" width="24" customWidth="1"/>
  </cols>
  <sheetData>
    <row r="1" spans="1:4" ht="25.5" customHeight="1" x14ac:dyDescent="0.25">
      <c r="A1" s="14" t="s">
        <v>18</v>
      </c>
      <c r="B1" s="14" t="s">
        <v>19</v>
      </c>
      <c r="C1" s="14" t="s">
        <v>20</v>
      </c>
      <c r="D1" s="14" t="s">
        <v>21</v>
      </c>
    </row>
    <row r="2" spans="1:4" ht="19.5" customHeight="1" x14ac:dyDescent="0.25">
      <c r="A2" s="15" t="s">
        <v>22</v>
      </c>
      <c r="B2" s="16">
        <f>SUMIFS(Dados!$E$2:$E$21, Dados!$A$2:$A$21, "&gt;="&amp;DATE(2024,1,1), Dados!$A$2:$A$21, "&lt;="&amp;DATE(2024,1,31))</f>
        <v>18695</v>
      </c>
      <c r="C2" s="17">
        <f>COUNTIFS(Dados!$A$2:$A$21, "&gt;="&amp;DATE(2024,1,1), Dados!$A$2:$A$21, "&lt;="&amp;DATE(2024,1,31))</f>
        <v>2</v>
      </c>
      <c r="D2" s="16">
        <f t="shared" ref="D2:D12" si="0">IF(C2=0, 0, B2/C2)</f>
        <v>9347.5</v>
      </c>
    </row>
    <row r="3" spans="1:4" ht="19.5" customHeight="1" x14ac:dyDescent="0.25">
      <c r="A3" s="18" t="s">
        <v>23</v>
      </c>
      <c r="B3" s="19">
        <f>SUMIFS(Dados!$E$2:$E$21, Dados!$A$2:$A$21, "&gt;="&amp;DATE(2024,2,1), Dados!$A$2:$A$21, "&lt;="&amp;DATE(2024,2,29))</f>
        <v>11495</v>
      </c>
      <c r="C3" s="20">
        <f>COUNTIFS(Dados!$A$2:$A$21, "&gt;="&amp;DATE(2024,2,1), Dados!$A$2:$A$21, "&lt;="&amp;DATE(2024,2,29))</f>
        <v>2</v>
      </c>
      <c r="D3" s="19">
        <f t="shared" si="0"/>
        <v>5747.5</v>
      </c>
    </row>
    <row r="4" spans="1:4" ht="19.5" customHeight="1" x14ac:dyDescent="0.25">
      <c r="A4" s="15" t="s">
        <v>24</v>
      </c>
      <c r="B4" s="16">
        <f>SUMIFS(Dados!$E$2:$E$21, Dados!$A$2:$A$21, "&gt;="&amp;DATE(2024,3,1), Dados!$A$2:$A$21, "&lt;="&amp;DATE(2024,3,31))</f>
        <v>17993</v>
      </c>
      <c r="C4" s="17">
        <f>COUNTIFS(Dados!$A$2:$A$21, "&gt;="&amp;DATE(2024,3,1), Dados!$A$2:$A$21, "&lt;="&amp;DATE(2024,3,31))</f>
        <v>2</v>
      </c>
      <c r="D4" s="16">
        <f t="shared" si="0"/>
        <v>8996.5</v>
      </c>
    </row>
    <row r="5" spans="1:4" ht="19.5" customHeight="1" x14ac:dyDescent="0.25">
      <c r="A5" s="18" t="s">
        <v>25</v>
      </c>
      <c r="B5" s="19">
        <f>SUMIFS(Dados!$E$2:$E$21, Dados!$A$2:$A$21, "&gt;="&amp;DATE(2024,4,1), Dados!$A$2:$A$21, "&lt;="&amp;DATE(2024,4,30))</f>
        <v>10795</v>
      </c>
      <c r="C5" s="20">
        <f>COUNTIFS(Dados!$A$2:$A$21, "&gt;="&amp;DATE(2024,4,1), Dados!$A$2:$A$21, "&lt;="&amp;DATE(2024,4,30))</f>
        <v>2</v>
      </c>
      <c r="D5" s="19">
        <f t="shared" si="0"/>
        <v>5397.5</v>
      </c>
    </row>
    <row r="6" spans="1:4" ht="19.5" customHeight="1" x14ac:dyDescent="0.25">
      <c r="A6" s="15" t="s">
        <v>26</v>
      </c>
      <c r="B6" s="16">
        <f>SUMIFS(Dados!$E$2:$E$21, Dados!$A$2:$A$21, "&gt;="&amp;DATE(2024,5,1), Dados!$A$2:$A$21, "&lt;="&amp;DATE(2024,5,31))</f>
        <v>11997</v>
      </c>
      <c r="C6" s="17">
        <f>COUNTIFS(Dados!$A$2:$A$21, "&gt;="&amp;DATE(2024,5,1), Dados!$A$2:$A$21, "&lt;="&amp;DATE(2024,5,31))</f>
        <v>2</v>
      </c>
      <c r="D6" s="16">
        <f t="shared" si="0"/>
        <v>5998.5</v>
      </c>
    </row>
    <row r="7" spans="1:4" ht="19.5" customHeight="1" x14ac:dyDescent="0.25">
      <c r="A7" s="18" t="s">
        <v>27</v>
      </c>
      <c r="B7" s="19">
        <f>SUMIFS(Dados!$E$2:$E$21, Dados!$A$2:$A$21, "&gt;="&amp;DATE(2024,6,1), Dados!$A$2:$A$21, "&lt;="&amp;DATE(2024,6,30))</f>
        <v>15495</v>
      </c>
      <c r="C7" s="20">
        <f>COUNTIFS(Dados!$A$2:$A$21, "&gt;="&amp;DATE(2024,6,1), Dados!$A$2:$A$21, "&lt;="&amp;DATE(2024,6,30))</f>
        <v>2</v>
      </c>
      <c r="D7" s="19">
        <f t="shared" si="0"/>
        <v>7747.5</v>
      </c>
    </row>
    <row r="8" spans="1:4" ht="19.5" customHeight="1" x14ac:dyDescent="0.25">
      <c r="A8" s="15" t="s">
        <v>28</v>
      </c>
      <c r="B8" s="16">
        <f>SUMIFS(Dados!$E$2:$E$21, Dados!$A$2:$A$21, "&gt;="&amp;DATE(2024,7,1), Dados!$A$2:$A$21, "&lt;="&amp;DATE(2024,7,31))</f>
        <v>9894</v>
      </c>
      <c r="C8" s="17">
        <f>COUNTIFS(Dados!$A$2:$A$21, "&gt;="&amp;DATE(2024,7,1), Dados!$A$2:$A$21, "&lt;="&amp;DATE(2024,7,31))</f>
        <v>2</v>
      </c>
      <c r="D8" s="16">
        <f t="shared" si="0"/>
        <v>4947</v>
      </c>
    </row>
    <row r="9" spans="1:4" ht="19.5" customHeight="1" x14ac:dyDescent="0.25">
      <c r="A9" s="18" t="s">
        <v>29</v>
      </c>
      <c r="B9" s="19">
        <f>SUMIFS(Dados!$E$2:$E$21, Dados!$A$2:$A$21, "&gt;="&amp;DATE(2024,8,1), Dados!$A$2:$A$21, "&lt;="&amp;DATE(2024,8,31))</f>
        <v>30495</v>
      </c>
      <c r="C9" s="20">
        <f>COUNTIFS(Dados!$A$2:$A$21, "&gt;="&amp;DATE(2024,8,1), Dados!$A$2:$A$21, "&lt;="&amp;DATE(2024,8,31))</f>
        <v>2</v>
      </c>
      <c r="D9" s="19">
        <f t="shared" si="0"/>
        <v>15247.5</v>
      </c>
    </row>
    <row r="10" spans="1:4" ht="19.5" customHeight="1" x14ac:dyDescent="0.25">
      <c r="A10" s="15" t="s">
        <v>30</v>
      </c>
      <c r="B10" s="16">
        <f>SUMIFS(Dados!$E$2:$E$21, Dados!$A$2:$A$21, "&gt;="&amp;DATE(2024,9,1), Dados!$A$2:$A$21, "&lt;="&amp;DATE(2024,9,30))</f>
        <v>10394</v>
      </c>
      <c r="C10" s="17">
        <f>COUNTIFS(Dados!$A$2:$A$21, "&gt;="&amp;DATE(2024,9,1), Dados!$A$2:$A$21, "&lt;="&amp;DATE(2024,9,30))</f>
        <v>2</v>
      </c>
      <c r="D10" s="16">
        <f t="shared" si="0"/>
        <v>5197</v>
      </c>
    </row>
    <row r="11" spans="1:4" ht="19.5" customHeight="1" x14ac:dyDescent="0.25">
      <c r="A11" s="18" t="s">
        <v>31</v>
      </c>
      <c r="B11" s="19">
        <f>SUMIFS(Dados!$E$2:$E$21, Dados!$A$2:$A$21, "&gt;="&amp;DATE(2024,10,1), Dados!$A$2:$A$21, "&lt;="&amp;DATE(2024,10,31))</f>
        <v>22795</v>
      </c>
      <c r="C11" s="20">
        <f>COUNTIFS(Dados!$A$2:$A$21, "&gt;="&amp;DATE(2024,10,1), Dados!$A$2:$A$21, "&lt;="&amp;DATE(2024,10,31))</f>
        <v>2</v>
      </c>
      <c r="D11" s="19">
        <f t="shared" si="0"/>
        <v>11397.5</v>
      </c>
    </row>
    <row r="12" spans="1:4" ht="24" customHeight="1" x14ac:dyDescent="0.25">
      <c r="A12" s="21" t="s">
        <v>32</v>
      </c>
      <c r="B12" s="22">
        <f>SUM(B2:B11)</f>
        <v>160048</v>
      </c>
      <c r="C12" s="23">
        <f>SUM(C2:C11)</f>
        <v>20</v>
      </c>
      <c r="D12" s="22">
        <f t="shared" si="0"/>
        <v>8002.4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Analise</vt:lpstr>
      <vt:lpstr>Analise por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Anderson Lopes</cp:lastModifiedBy>
  <cp:revision>1</cp:revision>
  <dcterms:created xsi:type="dcterms:W3CDTF">2026-10-16T16:20:29Z</dcterms:created>
  <dcterms:modified xsi:type="dcterms:W3CDTF">2026-10-16T16:37:52Z</dcterms:modified>
  <dc:language>en-US</dc:language>
</cp:coreProperties>
</file>